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adaaa1f23bb51c/Desktop/Project 2/Excel/"/>
    </mc:Choice>
  </mc:AlternateContent>
  <xr:revisionPtr revIDLastSave="33" documentId="8_{29B28298-6A9C-43BF-BED3-0C27449ABA38}" xr6:coauthVersionLast="47" xr6:coauthVersionMax="47" xr10:uidLastSave="{B5EEA11B-4793-4330-BDE7-D626B92C9DE8}"/>
  <bookViews>
    <workbookView xWindow="-108" yWindow="-108" windowWidth="23256" windowHeight="12456" activeTab="4" xr2:uid="{723DFDE6-D701-4F2F-A7CD-8637F34602EC}"/>
  </bookViews>
  <sheets>
    <sheet name="Lookup" sheetId="2" r:id="rId1"/>
    <sheet name="Clean" sheetId="3" r:id="rId2"/>
    <sheet name="Summary" sheetId="4" r:id="rId3"/>
    <sheet name="report" sheetId="5" r:id="rId4"/>
    <sheet name="Raw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C2" i="5"/>
  <c r="H13" i="3"/>
  <c r="H12" i="3"/>
  <c r="H11" i="3"/>
  <c r="H10" i="3"/>
  <c r="H9" i="3"/>
  <c r="H8" i="3"/>
  <c r="H7" i="3"/>
  <c r="H6" i="3"/>
  <c r="H5" i="3"/>
  <c r="H4" i="3"/>
  <c r="H3" i="3"/>
  <c r="H2" i="3"/>
  <c r="K3" i="3"/>
  <c r="G8" i="3"/>
  <c r="G9" i="3"/>
  <c r="G10" i="3"/>
  <c r="G11" i="3"/>
  <c r="G12" i="3"/>
  <c r="G13" i="3"/>
  <c r="G7" i="3"/>
  <c r="G6" i="3"/>
  <c r="G3" i="3"/>
  <c r="G4" i="3"/>
  <c r="G5" i="3"/>
  <c r="G2" i="3"/>
</calcChain>
</file>

<file path=xl/sharedStrings.xml><?xml version="1.0" encoding="utf-8"?>
<sst xmlns="http://schemas.openxmlformats.org/spreadsheetml/2006/main" count="119" uniqueCount="34">
  <si>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</si>
  <si>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</si>
  <si>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</si>
  <si>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</si>
  <si>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</si>
  <si>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</si>
  <si>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</si>
  <si>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</si>
  <si>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</si>
  <si>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</si>
  <si>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</si>
  <si>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</si>
  <si>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</si>
  <si>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</si>
  <si>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</si>
  <si>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</si>
  <si>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</si>
  <si>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</si>
  <si>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</si>
  <si>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</si>
  <si>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</si>
  <si>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</si>
  <si>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</si>
  <si>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</si>
  <si>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Row Count(Before)</t>
  </si>
  <si>
    <t>Row Count(After)</t>
  </si>
  <si>
    <t>Delay_days</t>
  </si>
  <si>
    <t>Row Labels</t>
  </si>
  <si>
    <t>Grand Total</t>
  </si>
  <si>
    <t>Column Labels</t>
  </si>
  <si>
    <t>Total Delay Days</t>
  </si>
  <si>
    <t>Total_Delivery</t>
  </si>
  <si>
    <t>Total_Delays</t>
  </si>
  <si>
    <t>Delay Incidence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</si>
</sst>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5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Summary!$B$1:$B$2</c:f>
              <c:strCache>
                <c:ptCount val="1"/>
                <c:pt idx="0">
                  <c:v>Jan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Summary!$B$3:$B$5</c:f>
              <c:numCache>
                <c:formatCode>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0-40B1-A7B7-C9D4C0207967}"/>
            </c:ext>
          </c:extLst>
        </c:ser>
        <c:ser>
          <c:idx val="1"/>
          <c:order val="1"/>
          <c:tx>
            <c:strRef>
              <c:f>Summary!$C$1:$C$2</c:f>
              <c:strCache>
                <c:ptCount val="1"/>
                <c:pt idx="0">
                  <c:v>Feb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Summary!$C$3:$C$5</c:f>
              <c:numCache>
                <c:formatCode>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0-40B1-A7B7-C9D4C0207967}"/>
            </c:ext>
          </c:extLst>
        </c:ser>
        <c:ser>
          <c:idx val="2"/>
          <c:order val="2"/>
          <c:tx>
            <c:strRef>
              <c:f>Summary!$D$1:$D$2</c:f>
              <c:strCache>
                <c:ptCount val="1"/>
                <c:pt idx="0">
                  <c:v>Mar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Summary!$A$3:$A$5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Summary!$D$3:$D$5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0-40B1-A7B7-C9D4C0207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24866831"/>
        <c:axId val="1651281711"/>
      </c:barChart>
      <c:catAx>
        <c:axId val="17248668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81711"/>
        <c:crosses val="autoZero"/>
        <c:auto val="1"/>
        <c:lblAlgn val="ctr"/>
        <c:lblOffset val="100"/>
        <c:noMultiLvlLbl val="0"/>
      </c:catAx>
      <c:valAx>
        <c:axId val="16512817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86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6</xdr:row>
      <xdr:rowOff>19050</xdr:rowOff>
    </xdr:from>
    <xdr:to>
      <xdr:col>4</xdr:col>
      <xdr:colOff>396240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61FC14-B3FF-67F6-4FFC-D96670F7B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el" refreshedDate="46294.417064699075" createdVersion="8" refreshedVersion="8" minRefreshableVersion="3" recordCount="12" xr:uid="{4E114C0A-F55B-44BA-8070-ED5DFD8B6997}">
  <cacheSource type="worksheet">
    <worksheetSource ref="A1:H13" sheet="Clean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F6141-4E39-4806-9F2B-26B9391B02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E5" firstHeaderRow="1" firstDataRow="2" firstDataCol="1"/>
  <pivotFields count="8"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dataField="1" numFmtI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Delay Days" fld="7" baseField="0" baseItem="0" numFmtId="1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A2D36-8586-4DAB-8B04-6BFC5136EA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2" firstHeaderRow="0" firstDataRow="1" firstDataCol="0"/>
  <pivotFields count="8">
    <pivotField dataField="1"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showAll="0">
      <items count="3">
        <item x="0"/>
        <item x="1"/>
        <item t="default"/>
      </items>
    </pivotField>
    <pivotField dataField="1" numFmtI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_Delays" fld="7" baseField="0" baseItem="0" numFmtId="1"/>
    <dataField name="Total_Delive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4050-59E1-4721-8944-97E871B31F49}">
  <dimension ref="A1:C5"/>
  <sheetViews>
    <sheetView workbookViewId="0">
      <selection activeCell="D24" sqref="D24"/>
    </sheetView>
  </sheetViews>
  <sheetFormatPr defaultRowHeight="14.4" x14ac:dyDescent="0.3"/>
  <cols>
    <col min="1" max="1" width="16.6640625" customWidth="1"/>
    <col min="2" max="2" width="13.88671875" customWidth="1"/>
    <col min="3" max="3" width="18.88671875" customWidth="1"/>
  </cols>
  <sheetData>
    <row r="1" spans="1:3" x14ac:dyDescent="0.3">
      <c r="A1" s="3" t="s">
        <v>2</v>
      </c>
      <c r="B1" s="2" t="s">
        <v>16</v>
      </c>
      <c r="C1" s="2" t="s">
        <v>17</v>
      </c>
    </row>
    <row r="2" spans="1:3" x14ac:dyDescent="0.3">
      <c r="A2" s="4" t="s">
        <v>7</v>
      </c>
      <c r="B2" s="1" t="s">
        <v>18</v>
      </c>
      <c r="C2" s="1" t="s">
        <v>19</v>
      </c>
    </row>
    <row r="3" spans="1:3" x14ac:dyDescent="0.3">
      <c r="A3" s="4" t="s">
        <v>9</v>
      </c>
      <c r="B3" s="1" t="s">
        <v>20</v>
      </c>
      <c r="C3" s="1" t="s">
        <v>19</v>
      </c>
    </row>
    <row r="4" spans="1:3" x14ac:dyDescent="0.3">
      <c r="A4" s="4" t="s">
        <v>11</v>
      </c>
      <c r="B4" s="1" t="s">
        <v>21</v>
      </c>
      <c r="C4" s="1" t="s">
        <v>22</v>
      </c>
    </row>
    <row r="5" spans="1:3" x14ac:dyDescent="0.3">
      <c r="A5" s="4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2D21-1009-4E93-BCF5-927E7D0FCEFC}">
  <dimension ref="A1:K13"/>
  <sheetViews>
    <sheetView workbookViewId="0">
      <selection activeCell="K3" sqref="K3"/>
    </sheetView>
  </sheetViews>
  <sheetFormatPr defaultRowHeight="14.4" x14ac:dyDescent="0.3"/>
  <cols>
    <col min="1" max="1" width="20.21875" customWidth="1"/>
    <col min="2" max="2" width="9.77734375" customWidth="1"/>
    <col min="3" max="3" width="22.109375" customWidth="1"/>
    <col min="4" max="4" width="20.6640625" customWidth="1"/>
    <col min="5" max="5" width="13.6640625" customWidth="1"/>
    <col min="6" max="6" width="17.6640625" customWidth="1"/>
    <col min="7" max="7" width="15" customWidth="1"/>
    <col min="8" max="8" width="20.21875" customWidth="1"/>
    <col min="9" max="9" width="16.5546875" customWidth="1"/>
    <col min="10" max="10" width="17" customWidth="1"/>
  </cols>
  <sheetData>
    <row r="1" spans="1:1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  <c r="H1" s="2" t="s">
        <v>26</v>
      </c>
    </row>
    <row r="2" spans="1:11" x14ac:dyDescent="0.3">
      <c r="A2" s="6">
        <v>1</v>
      </c>
      <c r="B2" s="1" t="s">
        <v>6</v>
      </c>
      <c r="C2" s="1" t="s">
        <v>7</v>
      </c>
      <c r="D2" s="1" t="s">
        <v>8</v>
      </c>
      <c r="E2" s="5">
        <v>2</v>
      </c>
      <c r="F2" s="5">
        <v>2</v>
      </c>
      <c r="G2" s="1" t="str">
        <f>_xlfn.XLOOKUP($C2,Lookup!$A$2:$A$5,Lookup!$C$2:$C$5)</f>
        <v>Express</v>
      </c>
      <c r="H2" s="5">
        <f>MAX($F2-$E2,0)</f>
        <v>0</v>
      </c>
      <c r="J2" s="2" t="s">
        <v>24</v>
      </c>
      <c r="K2" s="1">
        <f>COUNTA(Raw!$A$1:$A$14)</f>
        <v>14</v>
      </c>
    </row>
    <row r="3" spans="1:11" x14ac:dyDescent="0.3">
      <c r="A3" s="6">
        <v>2</v>
      </c>
      <c r="B3" s="1" t="s">
        <v>6</v>
      </c>
      <c r="C3" s="1" t="s">
        <v>9</v>
      </c>
      <c r="D3" s="1" t="s">
        <v>10</v>
      </c>
      <c r="E3" s="5">
        <v>3</v>
      </c>
      <c r="F3" s="5">
        <v>4</v>
      </c>
      <c r="G3" s="1" t="str">
        <f>_xlfn.XLOOKUP($C3,Lookup!$A$2:$A$5,Lookup!$C$2:$C$5)</f>
        <v>Express</v>
      </c>
      <c r="H3" s="5">
        <f t="shared" ref="H3:H13" si="0">MAX($F3-$E3,0)</f>
        <v>1</v>
      </c>
      <c r="J3" s="2" t="s">
        <v>25</v>
      </c>
      <c r="K3" s="1">
        <f>COUNTA(Clean!$A$1:$A$14)</f>
        <v>13</v>
      </c>
    </row>
    <row r="4" spans="1:11" x14ac:dyDescent="0.3">
      <c r="A4" s="6">
        <v>3</v>
      </c>
      <c r="B4" s="1" t="s">
        <v>6</v>
      </c>
      <c r="C4" s="1" t="s">
        <v>11</v>
      </c>
      <c r="D4" s="1" t="s">
        <v>12</v>
      </c>
      <c r="E4" s="5">
        <v>5</v>
      </c>
      <c r="F4" s="5">
        <v>8</v>
      </c>
      <c r="G4" s="1" t="str">
        <f>_xlfn.XLOOKUP($C4,Lookup!$A$2:$A$5,Lookup!$C$2:$C$5)</f>
        <v>Standard</v>
      </c>
      <c r="H4" s="5">
        <f t="shared" si="0"/>
        <v>3</v>
      </c>
    </row>
    <row r="5" spans="1:11" x14ac:dyDescent="0.3">
      <c r="A5" s="6">
        <v>4</v>
      </c>
      <c r="B5" s="1" t="s">
        <v>6</v>
      </c>
      <c r="C5" s="1" t="s">
        <v>13</v>
      </c>
      <c r="D5" s="1" t="s">
        <v>8</v>
      </c>
      <c r="E5" s="5">
        <v>6</v>
      </c>
      <c r="F5" s="5">
        <v>10</v>
      </c>
      <c r="G5" s="1" t="str">
        <f>_xlfn.XLOOKUP($C5,Lookup!$A$2:$A$5,Lookup!$C$2:$C$5)</f>
        <v>Standard</v>
      </c>
      <c r="H5" s="5">
        <f t="shared" si="0"/>
        <v>4</v>
      </c>
    </row>
    <row r="6" spans="1:11" x14ac:dyDescent="0.3">
      <c r="A6" s="6">
        <v>5</v>
      </c>
      <c r="B6" s="1" t="s">
        <v>14</v>
      </c>
      <c r="C6" s="1" t="s">
        <v>7</v>
      </c>
      <c r="D6" s="1" t="s">
        <v>10</v>
      </c>
      <c r="E6" s="5">
        <v>2</v>
      </c>
      <c r="F6" s="5">
        <v>5</v>
      </c>
      <c r="G6" s="1" t="str">
        <f>_xlfn.XLOOKUP($C6,Lookup!$A$2:$A$5,Lookup!$C$2:$C$5)</f>
        <v>Express</v>
      </c>
      <c r="H6" s="5">
        <f t="shared" si="0"/>
        <v>3</v>
      </c>
    </row>
    <row r="7" spans="1:11" x14ac:dyDescent="0.3">
      <c r="A7" s="6">
        <v>6</v>
      </c>
      <c r="B7" s="1" t="s">
        <v>14</v>
      </c>
      <c r="C7" s="1" t="s">
        <v>9</v>
      </c>
      <c r="D7" s="1" t="s">
        <v>12</v>
      </c>
      <c r="E7" s="5">
        <v>3</v>
      </c>
      <c r="F7" s="5">
        <v>3</v>
      </c>
      <c r="G7" s="1" t="str">
        <f>_xlfn.XLOOKUP($C7,Lookup!$A$2:$A$5,Lookup!$C$2:$C$5)</f>
        <v>Express</v>
      </c>
      <c r="H7" s="5">
        <f t="shared" si="0"/>
        <v>0</v>
      </c>
    </row>
    <row r="8" spans="1:11" x14ac:dyDescent="0.3">
      <c r="A8" s="6">
        <v>7</v>
      </c>
      <c r="B8" s="1" t="s">
        <v>14</v>
      </c>
      <c r="C8" s="1" t="s">
        <v>11</v>
      </c>
      <c r="D8" s="1" t="s">
        <v>12</v>
      </c>
      <c r="E8" s="5">
        <v>5</v>
      </c>
      <c r="F8" s="5">
        <v>10</v>
      </c>
      <c r="G8" s="1" t="str">
        <f>_xlfn.XLOOKUP($C8,Lookup!$A$2:$A$5,Lookup!$C$2:$C$5)</f>
        <v>Standard</v>
      </c>
      <c r="H8" s="5">
        <f t="shared" si="0"/>
        <v>5</v>
      </c>
    </row>
    <row r="9" spans="1:11" x14ac:dyDescent="0.3">
      <c r="A9" s="6">
        <v>8</v>
      </c>
      <c r="B9" s="1" t="s">
        <v>14</v>
      </c>
      <c r="C9" s="1" t="s">
        <v>13</v>
      </c>
      <c r="D9" s="1" t="s">
        <v>10</v>
      </c>
      <c r="E9" s="5">
        <v>6</v>
      </c>
      <c r="F9" s="5">
        <v>7</v>
      </c>
      <c r="G9" s="1" t="str">
        <f>_xlfn.XLOOKUP($C9,Lookup!$A$2:$A$5,Lookup!$C$2:$C$5)</f>
        <v>Standard</v>
      </c>
      <c r="H9" s="5">
        <f t="shared" si="0"/>
        <v>1</v>
      </c>
    </row>
    <row r="10" spans="1:11" x14ac:dyDescent="0.3">
      <c r="A10" s="6">
        <v>9</v>
      </c>
      <c r="B10" s="1" t="s">
        <v>15</v>
      </c>
      <c r="C10" s="1" t="s">
        <v>7</v>
      </c>
      <c r="D10" s="1" t="s">
        <v>12</v>
      </c>
      <c r="E10" s="5">
        <v>2</v>
      </c>
      <c r="F10" s="5">
        <v>8</v>
      </c>
      <c r="G10" s="1" t="str">
        <f>_xlfn.XLOOKUP($C10,Lookup!$A$2:$A$5,Lookup!$C$2:$C$5)</f>
        <v>Express</v>
      </c>
      <c r="H10" s="5">
        <f t="shared" si="0"/>
        <v>6</v>
      </c>
    </row>
    <row r="11" spans="1:11" x14ac:dyDescent="0.3">
      <c r="A11" s="6">
        <v>10</v>
      </c>
      <c r="B11" s="1" t="s">
        <v>15</v>
      </c>
      <c r="C11" s="1" t="s">
        <v>9</v>
      </c>
      <c r="D11" s="1" t="s">
        <v>8</v>
      </c>
      <c r="E11" s="5">
        <v>3</v>
      </c>
      <c r="F11" s="5">
        <v>5</v>
      </c>
      <c r="G11" s="1" t="str">
        <f>_xlfn.XLOOKUP($C11,Lookup!$A$2:$A$5,Lookup!$C$2:$C$5)</f>
        <v>Express</v>
      </c>
      <c r="H11" s="5">
        <f t="shared" si="0"/>
        <v>2</v>
      </c>
    </row>
    <row r="12" spans="1:11" x14ac:dyDescent="0.3">
      <c r="A12" s="6">
        <v>11</v>
      </c>
      <c r="B12" s="1" t="s">
        <v>15</v>
      </c>
      <c r="C12" s="1" t="s">
        <v>11</v>
      </c>
      <c r="D12" s="1" t="s">
        <v>10</v>
      </c>
      <c r="E12" s="5">
        <v>5</v>
      </c>
      <c r="F12" s="5">
        <v>5</v>
      </c>
      <c r="G12" s="1" t="str">
        <f>_xlfn.XLOOKUP($C12,Lookup!$A$2:$A$5,Lookup!$C$2:$C$5)</f>
        <v>Standard</v>
      </c>
      <c r="H12" s="5">
        <f t="shared" si="0"/>
        <v>0</v>
      </c>
    </row>
    <row r="13" spans="1:11" x14ac:dyDescent="0.3">
      <c r="A13" s="6">
        <v>12</v>
      </c>
      <c r="B13" s="1" t="s">
        <v>15</v>
      </c>
      <c r="C13" s="1" t="s">
        <v>13</v>
      </c>
      <c r="D13" s="1" t="s">
        <v>8</v>
      </c>
      <c r="E13" s="5">
        <v>6</v>
      </c>
      <c r="F13" s="5">
        <v>15</v>
      </c>
      <c r="G13" s="1" t="str">
        <f>_xlfn.XLOOKUP($C13,Lookup!$A$2:$A$5,Lookup!$C$2:$C$5)</f>
        <v>Standard</v>
      </c>
      <c r="H13" s="5">
        <f t="shared" si="0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6D14-6ED9-4AC4-A0B8-024A96582B82}">
  <dimension ref="A1:E5"/>
  <sheetViews>
    <sheetView workbookViewId="0">
      <selection activeCell="F9" sqref="F9"/>
    </sheetView>
  </sheetViews>
  <sheetFormatPr defaultRowHeight="14.4" x14ac:dyDescent="0.3"/>
  <cols>
    <col min="1" max="1" width="20.21875" customWidth="1"/>
    <col min="2" max="2" width="15.33203125" customWidth="1"/>
    <col min="3" max="3" width="10.44140625" customWidth="1"/>
    <col min="4" max="4" width="17.6640625" customWidth="1"/>
    <col min="5" max="5" width="10.77734375" bestFit="1" customWidth="1"/>
  </cols>
  <sheetData>
    <row r="1" spans="1:5" x14ac:dyDescent="0.3">
      <c r="A1" s="8" t="s">
        <v>30</v>
      </c>
      <c r="B1" s="8" t="s">
        <v>29</v>
      </c>
    </row>
    <row r="2" spans="1:5" x14ac:dyDescent="0.3">
      <c r="A2" s="8" t="s">
        <v>27</v>
      </c>
      <c r="B2" t="s">
        <v>6</v>
      </c>
      <c r="C2" t="s">
        <v>14</v>
      </c>
      <c r="D2" t="s">
        <v>15</v>
      </c>
      <c r="E2" t="s">
        <v>28</v>
      </c>
    </row>
    <row r="3" spans="1:5" x14ac:dyDescent="0.3">
      <c r="A3" s="9" t="s">
        <v>19</v>
      </c>
      <c r="B3" s="7">
        <v>1</v>
      </c>
      <c r="C3" s="7">
        <v>3</v>
      </c>
      <c r="D3" s="7">
        <v>8</v>
      </c>
      <c r="E3" s="7">
        <v>12</v>
      </c>
    </row>
    <row r="4" spans="1:5" x14ac:dyDescent="0.3">
      <c r="A4" s="9" t="s">
        <v>22</v>
      </c>
      <c r="B4" s="7">
        <v>7</v>
      </c>
      <c r="C4" s="7">
        <v>6</v>
      </c>
      <c r="D4" s="7">
        <v>9</v>
      </c>
      <c r="E4" s="7">
        <v>22</v>
      </c>
    </row>
    <row r="5" spans="1:5" x14ac:dyDescent="0.3">
      <c r="A5" s="9" t="s">
        <v>28</v>
      </c>
      <c r="B5" s="7">
        <v>8</v>
      </c>
      <c r="C5" s="7">
        <v>9</v>
      </c>
      <c r="D5" s="7">
        <v>17</v>
      </c>
      <c r="E5" s="7">
        <v>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2EA6-D2F1-40E2-9B5A-E4E6624A8207}">
  <dimension ref="A1:C2"/>
  <sheetViews>
    <sheetView workbookViewId="0">
      <selection activeCell="A2" sqref="A2"/>
    </sheetView>
  </sheetViews>
  <sheetFormatPr defaultRowHeight="14.4" x14ac:dyDescent="0.3"/>
  <cols>
    <col min="1" max="1" width="11.6640625" bestFit="1" customWidth="1"/>
    <col min="2" max="2" width="13.109375" bestFit="1" customWidth="1"/>
    <col min="3" max="3" width="25.5546875" customWidth="1"/>
  </cols>
  <sheetData>
    <row r="1" spans="1:3" x14ac:dyDescent="0.3">
      <c r="A1" t="s">
        <v>32</v>
      </c>
      <c r="B1" t="s">
        <v>31</v>
      </c>
      <c r="C1" s="10" t="s">
        <v>33</v>
      </c>
    </row>
    <row r="2" spans="1:3" x14ac:dyDescent="0.3">
      <c r="A2" s="7">
        <v>34</v>
      </c>
      <c r="B2">
        <v>12</v>
      </c>
      <c r="C2">
        <f>COUNTIFS(report!$H2:$H13,"&gt; 0")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E0C3-6424-4DF1-8657-C2C77ACA18EF}">
  <dimension ref="A1:F14"/>
  <sheetViews>
    <sheetView tabSelected="1" workbookViewId="0">
      <selection activeCell="C10" sqref="C10"/>
    </sheetView>
  </sheetViews>
  <sheetFormatPr defaultRowHeight="14.4" x14ac:dyDescent="0.3"/>
  <cols>
    <col min="1" max="1" width="18.88671875" customWidth="1"/>
    <col min="2" max="2" width="22.5546875" customWidth="1"/>
    <col min="3" max="3" width="32.33203125" customWidth="1"/>
    <col min="4" max="4" width="22.88671875" customWidth="1"/>
    <col min="5" max="5" width="22" customWidth="1"/>
    <col min="6" max="6" width="19.6640625" customWidth="1"/>
  </cols>
  <sheetData>
    <row r="1" spans="1:6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>
        <v>1</v>
      </c>
      <c r="B2" s="1" t="s">
        <v>6</v>
      </c>
      <c r="C2" s="1" t="s">
        <v>7</v>
      </c>
      <c r="D2" s="1" t="s">
        <v>8</v>
      </c>
      <c r="E2" s="1">
        <v>2</v>
      </c>
      <c r="F2" s="1">
        <v>2</v>
      </c>
    </row>
    <row r="3" spans="1:6" x14ac:dyDescent="0.3">
      <c r="A3" s="4">
        <v>2</v>
      </c>
      <c r="B3" s="1" t="s">
        <v>6</v>
      </c>
      <c r="C3" s="1" t="s">
        <v>9</v>
      </c>
      <c r="D3" s="1" t="s">
        <v>10</v>
      </c>
      <c r="E3" s="1">
        <v>3</v>
      </c>
      <c r="F3" s="1">
        <v>4</v>
      </c>
    </row>
    <row r="4" spans="1:6" x14ac:dyDescent="0.3">
      <c r="A4" s="4">
        <v>3</v>
      </c>
      <c r="B4" s="1" t="s">
        <v>6</v>
      </c>
      <c r="C4" s="1" t="s">
        <v>11</v>
      </c>
      <c r="D4" s="1" t="s">
        <v>12</v>
      </c>
      <c r="E4" s="1">
        <v>5</v>
      </c>
      <c r="F4" s="1">
        <v>8</v>
      </c>
    </row>
    <row r="5" spans="1:6" x14ac:dyDescent="0.3">
      <c r="A5" s="4">
        <v>4</v>
      </c>
      <c r="B5" s="1" t="s">
        <v>6</v>
      </c>
      <c r="C5" s="1" t="s">
        <v>13</v>
      </c>
      <c r="D5" s="1" t="s">
        <v>8</v>
      </c>
      <c r="E5" s="1">
        <v>6</v>
      </c>
      <c r="F5" s="1">
        <v>10</v>
      </c>
    </row>
    <row r="6" spans="1:6" x14ac:dyDescent="0.3">
      <c r="A6" s="4">
        <v>5</v>
      </c>
      <c r="B6" s="1" t="s">
        <v>14</v>
      </c>
      <c r="C6" s="1" t="s">
        <v>7</v>
      </c>
      <c r="D6" s="1" t="s">
        <v>10</v>
      </c>
      <c r="E6" s="1">
        <v>2</v>
      </c>
      <c r="F6" s="1">
        <v>5</v>
      </c>
    </row>
    <row r="7" spans="1:6" x14ac:dyDescent="0.3">
      <c r="A7" s="4">
        <v>6</v>
      </c>
      <c r="B7" s="1" t="s">
        <v>14</v>
      </c>
      <c r="C7" s="1" t="s">
        <v>9</v>
      </c>
      <c r="D7" s="1" t="s">
        <v>12</v>
      </c>
      <c r="E7" s="1">
        <v>3</v>
      </c>
      <c r="F7" s="1">
        <v>3</v>
      </c>
    </row>
    <row r="8" spans="1:6" x14ac:dyDescent="0.3">
      <c r="A8" s="4">
        <v>7</v>
      </c>
      <c r="B8" s="1" t="s">
        <v>14</v>
      </c>
      <c r="C8" s="1" t="s">
        <v>11</v>
      </c>
      <c r="D8" s="1" t="s">
        <v>12</v>
      </c>
      <c r="E8" s="1">
        <v>5</v>
      </c>
      <c r="F8" s="1">
        <v>10</v>
      </c>
    </row>
    <row r="9" spans="1:6" x14ac:dyDescent="0.3">
      <c r="A9" s="4">
        <v>8</v>
      </c>
      <c r="B9" s="1" t="s">
        <v>14</v>
      </c>
      <c r="C9" s="1" t="s">
        <v>13</v>
      </c>
      <c r="D9" s="1" t="s">
        <v>10</v>
      </c>
      <c r="E9" s="1">
        <v>6</v>
      </c>
      <c r="F9" s="1">
        <v>7</v>
      </c>
    </row>
    <row r="10" spans="1:6" x14ac:dyDescent="0.3">
      <c r="A10" s="4">
        <v>9</v>
      </c>
      <c r="B10" s="1" t="s">
        <v>15</v>
      </c>
      <c r="C10" s="1" t="s">
        <v>7</v>
      </c>
      <c r="D10" s="1" t="s">
        <v>12</v>
      </c>
      <c r="E10" s="1">
        <v>2</v>
      </c>
      <c r="F10" s="1">
        <v>8</v>
      </c>
    </row>
    <row r="11" spans="1:6" x14ac:dyDescent="0.3">
      <c r="A11" s="4">
        <v>10</v>
      </c>
      <c r="B11" s="1" t="s">
        <v>15</v>
      </c>
      <c r="C11" s="1" t="s">
        <v>9</v>
      </c>
      <c r="D11" s="1" t="s">
        <v>8</v>
      </c>
      <c r="E11" s="1">
        <v>3</v>
      </c>
      <c r="F11" s="1">
        <v>5</v>
      </c>
    </row>
    <row r="12" spans="1:6" x14ac:dyDescent="0.3">
      <c r="A12" s="4">
        <v>11</v>
      </c>
      <c r="B12" s="1" t="s">
        <v>15</v>
      </c>
      <c r="C12" s="1" t="s">
        <v>11</v>
      </c>
      <c r="D12" s="1" t="s">
        <v>10</v>
      </c>
      <c r="E12" s="1">
        <v>5</v>
      </c>
      <c r="F12" s="1">
        <v>5</v>
      </c>
    </row>
    <row r="13" spans="1:6" x14ac:dyDescent="0.3">
      <c r="A13" s="4">
        <v>12</v>
      </c>
      <c r="B13" s="1" t="s">
        <v>15</v>
      </c>
      <c r="C13" s="1" t="s">
        <v>13</v>
      </c>
      <c r="D13" s="1" t="s">
        <v>8</v>
      </c>
      <c r="E13" s="1">
        <v>6</v>
      </c>
      <c r="F13" s="1">
        <v>15</v>
      </c>
    </row>
    <row r="14" spans="1:6" x14ac:dyDescent="0.3">
      <c r="A14" s="4">
        <v>12</v>
      </c>
      <c r="B14" s="1" t="s">
        <v>15</v>
      </c>
      <c r="C14" s="1" t="s">
        <v>13</v>
      </c>
      <c r="D14" s="1" t="s">
        <v>8</v>
      </c>
      <c r="E14" s="1">
        <v>6</v>
      </c>
      <c r="F1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</vt:lpstr>
      <vt:lpstr>Clean</vt:lpstr>
      <vt:lpstr>Summary</vt:lpstr>
      <vt:lpstr>report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patelujjval404@gmail.com</dc:creator>
  <cp:lastModifiedBy>parth patel</cp:lastModifiedBy>
  <dcterms:created xsi:type="dcterms:W3CDTF">2026-09-29T03:52:44Z</dcterms:created>
  <dcterms:modified xsi:type="dcterms:W3CDTF">2026-10-03T05:39:13Z</dcterms:modified>
</cp:coreProperties>
</file>